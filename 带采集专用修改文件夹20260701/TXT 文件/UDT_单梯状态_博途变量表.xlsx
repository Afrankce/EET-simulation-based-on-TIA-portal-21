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gLingyu\Desktop\归档文件\V8\"/>
    </mc:Choice>
  </mc:AlternateContent>
  <xr:revisionPtr revIDLastSave="0" documentId="13_ncr:1_{16D52965-0A4D-42B4-97A8-CEA32B682C77}" xr6:coauthVersionLast="47" xr6:coauthVersionMax="47" xr10:uidLastSave="{00000000-0000-0000-0000-000000000000}"/>
  <bookViews>
    <workbookView xWindow="384" yWindow="384" windowWidth="17280" windowHeight="10044" xr2:uid="{00000000-000D-0000-FFFF-FFFF00000000}"/>
  </bookViews>
  <sheets>
    <sheet name="UDT_单梯状态_博途变量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2" l="1"/>
  <c r="D63" i="2"/>
  <c r="D62" i="2"/>
  <c r="D38" i="2"/>
  <c r="D37" i="2"/>
  <c r="D36" i="2"/>
  <c r="D35" i="2"/>
</calcChain>
</file>

<file path=xl/sharedStrings.xml><?xml version="1.0" encoding="utf-8"?>
<sst xmlns="http://schemas.openxmlformats.org/spreadsheetml/2006/main" count="287" uniqueCount="259">
  <si>
    <t>名称</t>
  </si>
  <si>
    <t>数据类型</t>
  </si>
  <si>
    <t>PLC数据类型</t>
  </si>
  <si>
    <t>注释</t>
  </si>
  <si>
    <t>起始值</t>
  </si>
  <si>
    <t>地址</t>
  </si>
  <si>
    <t>梯号</t>
  </si>
  <si>
    <t>Int</t>
  </si>
  <si>
    <t>UDT_单梯状态</t>
  </si>
  <si>
    <t>物理电梯编号（1, 2, 3），用于 I/O 映射</t>
  </si>
  <si>
    <t>当前楼层</t>
  </si>
  <si>
    <t>Int</t>
  </si>
  <si>
    <t>UDT_单梯状态</t>
  </si>
  <si>
    <t>电梯当前所处的楼层号（运行中动态更新）</t>
  </si>
  <si>
    <t>上行接触器</t>
  </si>
  <si>
    <t>Bool</t>
  </si>
  <si>
    <t>UDT_单梯状态</t>
  </si>
  <si>
    <t>置位时电梯上行</t>
  </si>
  <si>
    <t>下行接触器</t>
  </si>
  <si>
    <t>Bool</t>
  </si>
  <si>
    <t>UDT_单梯状态</t>
  </si>
  <si>
    <t>置位时电梯下行</t>
  </si>
  <si>
    <t>高速接触器</t>
  </si>
  <si>
    <t>Bool</t>
  </si>
  <si>
    <t>UDT_单梯状态</t>
  </si>
  <si>
    <t>高速绕组使能（长距离运行）</t>
  </si>
  <si>
    <t>低速接触器</t>
  </si>
  <si>
    <t>Bool</t>
  </si>
  <si>
    <t>UDT_单梯状态</t>
  </si>
  <si>
    <t>低速绕组使能（爬行平层）</t>
  </si>
  <si>
    <t>一级减速制动</t>
  </si>
  <si>
    <t>Bool</t>
  </si>
  <si>
    <t>UDT_单梯状态</t>
  </si>
  <si>
    <t>减速阶段1（距目标层较远）</t>
  </si>
  <si>
    <t>二级减速制动</t>
  </si>
  <si>
    <t>Bool</t>
  </si>
  <si>
    <t>UDT_单梯状态</t>
  </si>
  <si>
    <t>减速阶段2（接近平层板）</t>
  </si>
  <si>
    <t>三级减速制动</t>
  </si>
  <si>
    <t>Bool</t>
  </si>
  <si>
    <t>UDT_单梯状态</t>
  </si>
  <si>
    <t>减速阶段3（精准平层停车）</t>
  </si>
  <si>
    <t>电机启动信号</t>
  </si>
  <si>
    <t>Bool</t>
  </si>
  <si>
    <t>UDT_单梯状态</t>
  </si>
  <si>
    <t>变频器/电机主回路使能</t>
  </si>
  <si>
    <t>上平层信号</t>
  </si>
  <si>
    <t>Bool</t>
  </si>
  <si>
    <t>UDT_单梯状态</t>
  </si>
  <si>
    <t>轿厢到达平层板上沿</t>
  </si>
  <si>
    <t>下平层信号</t>
  </si>
  <si>
    <t>Bool</t>
  </si>
  <si>
    <t>UDT_单梯状态</t>
  </si>
  <si>
    <t>轿厢到达平层板下沿</t>
  </si>
  <si>
    <t>上端站第一限位</t>
  </si>
  <si>
    <t>Bool</t>
  </si>
  <si>
    <t>UDT_单梯状态</t>
  </si>
  <si>
    <t>顶部强迫减速开关（先碰到）</t>
  </si>
  <si>
    <t>上端站第二限位</t>
  </si>
  <si>
    <t>Bool</t>
  </si>
  <si>
    <t>UDT_单梯状态</t>
  </si>
  <si>
    <t>顶部极限停车开关（再碰到）</t>
  </si>
  <si>
    <t>下端站第一限位</t>
  </si>
  <si>
    <t>Bool</t>
  </si>
  <si>
    <t>UDT_单梯状态</t>
  </si>
  <si>
    <t>底部强迫减速开关（先碰到）</t>
  </si>
  <si>
    <t>下端站第二限位</t>
  </si>
  <si>
    <t>Bool</t>
  </si>
  <si>
    <t>UDT_单梯状态</t>
  </si>
  <si>
    <t>底部极限停车开关（再碰到）</t>
  </si>
  <si>
    <t>开门继电器</t>
  </si>
  <si>
    <t>Bool</t>
  </si>
  <si>
    <t>UDT_单梯状态</t>
  </si>
  <si>
    <t>输出：开门命令</t>
  </si>
  <si>
    <t>关门继电器</t>
  </si>
  <si>
    <t>Bool</t>
  </si>
  <si>
    <t>UDT_单梯状态</t>
  </si>
  <si>
    <t>输出：关门命令</t>
  </si>
  <si>
    <t>开门到位</t>
  </si>
  <si>
    <t>Bool</t>
  </si>
  <si>
    <t>UDT_单梯状态</t>
  </si>
  <si>
    <t>输入：门已全开</t>
  </si>
  <si>
    <t>关门到位</t>
  </si>
  <si>
    <t>Bool</t>
  </si>
  <si>
    <t>UDT_单梯状态</t>
  </si>
  <si>
    <t>输入：门已全关</t>
  </si>
  <si>
    <t>轿厢门锁信号</t>
  </si>
  <si>
    <t>Bool</t>
  </si>
  <si>
    <t>UDT_单梯状态</t>
  </si>
  <si>
    <t>输入：轿厢门锁闭合</t>
  </si>
  <si>
    <t>楼层门锁信号</t>
  </si>
  <si>
    <t>UDT_单梯状态</t>
  </si>
  <si>
    <t>输入：各层层门锁闭合</t>
  </si>
  <si>
    <t>光幕信号</t>
  </si>
  <si>
    <t>Bool</t>
  </si>
  <si>
    <t>UDT_单梯状态</t>
  </si>
  <si>
    <t>输入：光幕被遮挡（有人/物在门口）</t>
  </si>
  <si>
    <t>开门按钮</t>
  </si>
  <si>
    <t>Bool</t>
  </si>
  <si>
    <t>UDT_单梯状态</t>
  </si>
  <si>
    <t>输入：轿内开门按钮按下</t>
  </si>
  <si>
    <t>关门按钮</t>
  </si>
  <si>
    <t>Bool</t>
  </si>
  <si>
    <t>UDT_单梯状态</t>
  </si>
  <si>
    <t>输入：轿内关门按钮按下</t>
  </si>
  <si>
    <t>载重模拟量原始值</t>
  </si>
  <si>
    <t>Int</t>
  </si>
  <si>
    <t>UDT_单梯状态</t>
  </si>
  <si>
    <t>来自称重传感器的原始 A/D 值（0~27648）</t>
  </si>
  <si>
    <t>实际载重kg</t>
  </si>
  <si>
    <t>Real</t>
  </si>
  <si>
    <t>UDT_单梯状态</t>
  </si>
  <si>
    <t>经过归一化+缩放后的公斤值</t>
  </si>
  <si>
    <t>满载指示</t>
  </si>
  <si>
    <t>Bool</t>
  </si>
  <si>
    <t>UDT_单梯状态</t>
  </si>
  <si>
    <t>输出：满载指示灯（≥1600kg）</t>
  </si>
  <si>
    <t>超载信号</t>
  </si>
  <si>
    <t>Bool</t>
  </si>
  <si>
    <t>UDT_单梯状态</t>
  </si>
  <si>
    <t>输出：超载报警（≥2000kg，禁止关门/起动）</t>
  </si>
  <si>
    <t>检修信号</t>
  </si>
  <si>
    <t>Bool</t>
  </si>
  <si>
    <t>UDT_单梯状态</t>
  </si>
  <si>
    <t>输入：检修开关接通（点动运行，屏蔽自动逻辑）</t>
  </si>
  <si>
    <t>自动运行信号</t>
  </si>
  <si>
    <t>Bool</t>
  </si>
  <si>
    <t>UDT_单梯状态</t>
  </si>
  <si>
    <t>输入：自动/司机模式选择（TRUE=自动）</t>
  </si>
  <si>
    <t>准备就绪</t>
  </si>
  <si>
    <t>Bool</t>
  </si>
  <si>
    <t>UDT_单梯状态</t>
  </si>
  <si>
    <t>输出：初始化完成，电梯可以投入自动运行</t>
  </si>
  <si>
    <t>故障指示</t>
  </si>
  <si>
    <t>Bool</t>
  </si>
  <si>
    <t>UDT_单梯状态</t>
  </si>
  <si>
    <t>输出：故障灯（门锁异常、限位同时触发等）</t>
  </si>
  <si>
    <t>梯在运行中</t>
  </si>
  <si>
    <t>Bool</t>
  </si>
  <si>
    <t>UDT_单梯状态</t>
  </si>
  <si>
    <t>精准平层</t>
  </si>
  <si>
    <t>Bool</t>
  </si>
  <si>
    <t>UDT_单梯状态</t>
  </si>
  <si>
    <t>门锁全部闭合</t>
  </si>
  <si>
    <t>Bool</t>
  </si>
  <si>
    <t>UDT_单梯状态</t>
  </si>
  <si>
    <t>停层信号</t>
  </si>
  <si>
    <t>Bool</t>
  </si>
  <si>
    <t>UDT_单梯状态</t>
  </si>
  <si>
    <t>上行指示</t>
  </si>
  <si>
    <t>Bool</t>
  </si>
  <si>
    <t>UDT_单梯状态</t>
  </si>
  <si>
    <t>输出：轿厢/厅外上行方向灯（由 FB3 写入）</t>
  </si>
  <si>
    <t>下行指示</t>
  </si>
  <si>
    <t>Bool</t>
  </si>
  <si>
    <t>UDT_单梯状态</t>
  </si>
  <si>
    <t>输出：轿厢/厅外下行方向灯（由 FB3 写入）</t>
  </si>
  <si>
    <t>到站服务中</t>
  </si>
  <si>
    <t>Bool</t>
  </si>
  <si>
    <t>UDT_单梯状态</t>
  </si>
  <si>
    <t>状态：电梯已停靠，正在执行开门/等待/关门序列</t>
  </si>
  <si>
    <t>本次服务已开门</t>
  </si>
  <si>
    <t>Bool</t>
  </si>
  <si>
    <t>UDT_单梯状态</t>
  </si>
  <si>
    <t>状态：本次到站的开门动作已完成（防止重复开门）</t>
  </si>
  <si>
    <t>手动开门中</t>
  </si>
  <si>
    <t>Bool</t>
  </si>
  <si>
    <t>UDT_单梯状态</t>
  </si>
  <si>
    <t>状态：非到站情况下的手动开门流程激活</t>
  </si>
  <si>
    <t>服务方向上</t>
  </si>
  <si>
    <t>Bool</t>
  </si>
  <si>
    <t>UDT_单梯状态</t>
  </si>
  <si>
    <t>锁存：本次服务的运行方向（上）</t>
  </si>
  <si>
    <t>服务方向下</t>
  </si>
  <si>
    <t>Bool</t>
  </si>
  <si>
    <t>UDT_单梯状态</t>
  </si>
  <si>
    <t>锁存：本次服务的运行方向（下）</t>
  </si>
  <si>
    <t>服务楼层</t>
  </si>
  <si>
    <t>Int</t>
  </si>
  <si>
    <t>UDT_单梯状态</t>
  </si>
  <si>
    <t>锁存：本次服务的目标楼层号</t>
  </si>
  <si>
    <t>轿内选层按钮</t>
  </si>
  <si>
    <t>UDT_单梯状态</t>
  </si>
  <si>
    <t>上行呼梯按钮</t>
  </si>
  <si>
    <t>UDT_单梯状态</t>
  </si>
  <si>
    <t>下行呼梯按钮</t>
  </si>
  <si>
    <t>UDT_单梯状态</t>
  </si>
  <si>
    <t>内呼指示灯</t>
  </si>
  <si>
    <t>UDT_单梯状态</t>
  </si>
  <si>
    <t>轿内选层按钮灯</t>
  </si>
  <si>
    <t>外呼上指示灯</t>
  </si>
  <si>
    <t>UDT_单梯状态</t>
  </si>
  <si>
    <t>厅外上行按钮灯</t>
  </si>
  <si>
    <t>外呼下指示灯</t>
  </si>
  <si>
    <t>UDT_单梯状态</t>
  </si>
  <si>
    <t>厅外下行按钮灯</t>
  </si>
  <si>
    <t>数码管a段</t>
  </si>
  <si>
    <t>Bool</t>
  </si>
  <si>
    <t>UDT_单梯状态</t>
  </si>
  <si>
    <t>七段码 a 段</t>
  </si>
  <si>
    <t>数码管b段</t>
  </si>
  <si>
    <t>Bool</t>
  </si>
  <si>
    <t>UDT_单梯状态</t>
  </si>
  <si>
    <t>七段码 b 段</t>
  </si>
  <si>
    <t>数码管c段</t>
  </si>
  <si>
    <t>Bool</t>
  </si>
  <si>
    <t>UDT_单梯状态</t>
  </si>
  <si>
    <t>七段码 c 段</t>
  </si>
  <si>
    <t>数码管d段</t>
  </si>
  <si>
    <t>Bool</t>
  </si>
  <si>
    <t>UDT_单梯状态</t>
  </si>
  <si>
    <t>七段码 d 段</t>
  </si>
  <si>
    <t>数码管e段</t>
  </si>
  <si>
    <t>Bool</t>
  </si>
  <si>
    <t>UDT_单梯状态</t>
  </si>
  <si>
    <t>七段码 e 段</t>
  </si>
  <si>
    <t>数码管f段</t>
  </si>
  <si>
    <t>Bool</t>
  </si>
  <si>
    <t>UDT_单梯状态</t>
  </si>
  <si>
    <t>七段码 f 段</t>
  </si>
  <si>
    <t>数码管g段</t>
  </si>
  <si>
    <t>Bool</t>
  </si>
  <si>
    <t>UDT_单梯状态</t>
  </si>
  <si>
    <t>七段码 g 段</t>
  </si>
  <si>
    <t>照明指示</t>
  </si>
  <si>
    <t>Bool</t>
  </si>
  <si>
    <t>UDT_单梯状态</t>
  </si>
  <si>
    <t>输出：轿厢照明</t>
  </si>
  <si>
    <t>风扇指示</t>
  </si>
  <si>
    <t>Bool</t>
  </si>
  <si>
    <t>UDT_单梯状态</t>
  </si>
  <si>
    <t>输出：轿厢风扇</t>
  </si>
  <si>
    <t>存在内呼</t>
  </si>
  <si>
    <t>Bool</t>
  </si>
  <si>
    <t>UDT_单梯状态</t>
  </si>
  <si>
    <t>存在外呼</t>
  </si>
  <si>
    <t>Bool</t>
  </si>
  <si>
    <t>UDT_单梯状态</t>
  </si>
  <si>
    <t>当前需求汇总</t>
  </si>
  <si>
    <t>UDT_单梯状态</t>
  </si>
  <si>
    <t>群控允许运行</t>
  </si>
  <si>
    <t>Bool</t>
  </si>
  <si>
    <t>UDT_单梯状态</t>
  </si>
  <si>
    <t>群控算法是否可以起动本梯（默认 TRUE，群控 FB 可写 FALSE 来待机锁定）</t>
  </si>
  <si>
    <t>TRUE</t>
  </si>
  <si>
    <t>群控本梯外呼分配</t>
  </si>
  <si>
    <t>UDT_单梯状态</t>
  </si>
  <si>
    <r>
      <rPr>
        <sz val="10"/>
        <color rgb="FF333333"/>
        <rFont val="微软雅黑"/>
        <family val="2"/>
        <charset val="134"/>
      </rPr>
      <t>轿厢内选层按钮（</t>
    </r>
    <r>
      <rPr>
        <sz val="10"/>
        <color rgb="FF333333"/>
        <rFont val="Arial"/>
        <family val="2"/>
      </rPr>
      <t>1~6</t>
    </r>
    <r>
      <rPr>
        <sz val="10"/>
        <color rgb="FF333333"/>
        <rFont val="微软雅黑"/>
        <family val="2"/>
        <charset val="134"/>
      </rPr>
      <t>）</t>
    </r>
    <phoneticPr fontId="3" type="noConversion"/>
  </si>
  <si>
    <r>
      <rPr>
        <sz val="10"/>
        <color rgb="FF333333"/>
        <rFont val="微软雅黑"/>
        <family val="2"/>
        <charset val="134"/>
      </rPr>
      <t>厅外上行按钮（</t>
    </r>
    <r>
      <rPr>
        <sz val="10"/>
        <color rgb="FF333333"/>
        <rFont val="Arial"/>
        <family val="2"/>
      </rPr>
      <t>1~5</t>
    </r>
    <r>
      <rPr>
        <sz val="10"/>
        <color rgb="FF333333"/>
        <rFont val="微软雅黑"/>
        <family val="2"/>
        <charset val="134"/>
      </rPr>
      <t>层，6层无上行按钮）</t>
    </r>
    <phoneticPr fontId="3" type="noConversion"/>
  </si>
  <si>
    <r>
      <rPr>
        <sz val="10"/>
        <color rgb="FF333333"/>
        <rFont val="微软雅黑"/>
        <family val="2"/>
        <charset val="134"/>
      </rPr>
      <t>厅外下行按钮（</t>
    </r>
    <r>
      <rPr>
        <sz val="10"/>
        <color rgb="FF333333"/>
        <rFont val="Arial"/>
        <family val="2"/>
      </rPr>
      <t>2~6</t>
    </r>
    <r>
      <rPr>
        <sz val="10"/>
        <color rgb="FF333333"/>
        <rFont val="微软雅黑"/>
        <family val="2"/>
        <charset val="134"/>
      </rPr>
      <t>层，</t>
    </r>
    <r>
      <rPr>
        <sz val="10"/>
        <color rgb="FF333333"/>
        <rFont val="Arial"/>
        <family val="2"/>
      </rPr>
      <t>1</t>
    </r>
    <r>
      <rPr>
        <sz val="10"/>
        <color rgb="FF333333"/>
        <rFont val="微软雅黑"/>
        <family val="2"/>
        <charset val="134"/>
      </rPr>
      <t>层无下行按钮）</t>
    </r>
    <phoneticPr fontId="3" type="noConversion"/>
  </si>
  <si>
    <t>Array[1..10] of Bool</t>
    <phoneticPr fontId="3" type="noConversion"/>
  </si>
  <si>
    <r>
      <rPr>
        <sz val="10"/>
        <color rgb="FF333333"/>
        <rFont val="微软雅黑"/>
        <family val="2"/>
        <charset val="134"/>
      </rPr>
      <t>数码管</t>
    </r>
    <r>
      <rPr>
        <sz val="10"/>
        <color rgb="FF333333"/>
        <rFont val="Arial"/>
        <family val="2"/>
      </rPr>
      <t>h</t>
    </r>
    <r>
      <rPr>
        <sz val="10"/>
        <color rgb="FF333333"/>
        <rFont val="微软雅黑"/>
        <family val="2"/>
        <charset val="134"/>
      </rPr>
      <t>段</t>
    </r>
    <phoneticPr fontId="3" type="noConversion"/>
  </si>
  <si>
    <r>
      <rPr>
        <sz val="10"/>
        <color rgb="FF333333"/>
        <rFont val="微软雅黑"/>
        <family val="2"/>
        <charset val="134"/>
      </rPr>
      <t>数码管</t>
    </r>
    <r>
      <rPr>
        <sz val="10"/>
        <color rgb="FF333333"/>
        <rFont val="Arial"/>
        <family val="2"/>
      </rPr>
      <t>i</t>
    </r>
    <r>
      <rPr>
        <sz val="10"/>
        <color rgb="FF333333"/>
        <rFont val="微软雅黑"/>
        <family val="2"/>
        <charset val="134"/>
      </rPr>
      <t>段</t>
    </r>
    <phoneticPr fontId="3" type="noConversion"/>
  </si>
  <si>
    <r>
      <rPr>
        <sz val="10"/>
        <color rgb="FF333333"/>
        <rFont val="微软雅黑"/>
        <family val="2"/>
        <charset val="134"/>
      </rPr>
      <t>数码管</t>
    </r>
    <r>
      <rPr>
        <sz val="10"/>
        <color rgb="FF333333"/>
        <rFont val="Arial"/>
        <family val="2"/>
      </rPr>
      <t>j</t>
    </r>
    <r>
      <rPr>
        <sz val="10"/>
        <color rgb="FF333333"/>
        <rFont val="微软雅黑"/>
        <family val="2"/>
        <charset val="134"/>
      </rPr>
      <t>段</t>
    </r>
    <phoneticPr fontId="3" type="noConversion"/>
  </si>
  <si>
    <r>
      <rPr>
        <sz val="10"/>
        <color rgb="FF333333"/>
        <rFont val="微软雅黑"/>
        <family val="2"/>
        <charset val="134"/>
      </rPr>
      <t>数码管</t>
    </r>
    <r>
      <rPr>
        <sz val="10"/>
        <color rgb="FF333333"/>
        <rFont val="Arial"/>
        <family val="2"/>
      </rPr>
      <t>k</t>
    </r>
    <r>
      <rPr>
        <sz val="10"/>
        <color rgb="FF333333"/>
        <rFont val="微软雅黑"/>
        <family val="2"/>
        <charset val="134"/>
      </rPr>
      <t>段</t>
    </r>
    <phoneticPr fontId="3" type="noConversion"/>
  </si>
  <si>
    <r>
      <rPr>
        <sz val="10"/>
        <color rgb="FF333333"/>
        <rFont val="微软雅黑"/>
        <family val="2"/>
        <charset val="134"/>
      </rPr>
      <t>数码管</t>
    </r>
    <r>
      <rPr>
        <sz val="10"/>
        <color rgb="FF333333"/>
        <rFont val="Arial"/>
        <family val="2"/>
      </rPr>
      <t>l</t>
    </r>
    <r>
      <rPr>
        <sz val="10"/>
        <color rgb="FF333333"/>
        <rFont val="微软雅黑"/>
        <family val="2"/>
        <charset val="134"/>
      </rPr>
      <t>段</t>
    </r>
    <phoneticPr fontId="3" type="noConversion"/>
  </si>
  <si>
    <r>
      <rPr>
        <sz val="10"/>
        <color rgb="FF333333"/>
        <rFont val="微软雅黑"/>
        <family val="2"/>
        <charset val="134"/>
      </rPr>
      <t>数码管</t>
    </r>
    <r>
      <rPr>
        <sz val="10"/>
        <color rgb="FF333333"/>
        <rFont val="Arial"/>
        <family val="2"/>
      </rPr>
      <t>m</t>
    </r>
    <r>
      <rPr>
        <sz val="10"/>
        <color rgb="FF333333"/>
        <rFont val="微软雅黑"/>
        <family val="2"/>
        <charset val="134"/>
      </rPr>
      <t>段</t>
    </r>
    <phoneticPr fontId="3" type="noConversion"/>
  </si>
  <si>
    <r>
      <rPr>
        <sz val="10"/>
        <color rgb="FF333333"/>
        <rFont val="微软雅黑"/>
        <family val="2"/>
        <charset val="134"/>
      </rPr>
      <t>数码管</t>
    </r>
    <r>
      <rPr>
        <sz val="10"/>
        <color rgb="FF333333"/>
        <rFont val="Arial"/>
        <family val="2"/>
      </rPr>
      <t>n</t>
    </r>
    <r>
      <rPr>
        <sz val="10"/>
        <color rgb="FF333333"/>
        <rFont val="微软雅黑"/>
        <family val="2"/>
        <charset val="134"/>
      </rPr>
      <t>段</t>
    </r>
    <phoneticPr fontId="3" type="noConversion"/>
  </si>
  <si>
    <t>Array[1..10] of 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</si>
</sst>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sz val="9"/>
      <name val="等线"/>
      <family val="3"/>
      <charset val="134"/>
      <scheme val="minor"/>
    </font>
    <font>
      <sz val="10"/>
      <color rgb="FF333333"/>
      <name val="微软雅黑"/>
      <family val="2"/>
      <charset val="134"/>
    </font>
    <font>
      <sz val="10"/>
      <color rgb="FF333333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3"/>
  <sheetViews>
    <sheetView tabSelected="1" workbookViewId="0">
      <pane ySplit="1" topLeftCell="A58" activePane="bottomLeft" state="frozen"/>
      <selection pane="bottomLeft" activeCell="B70" sqref="B70"/>
    </sheetView>
  </sheetViews>
  <sheetFormatPr defaultColWidth="14" defaultRowHeight="13.2" x14ac:dyDescent="0.25"/>
  <cols>
    <col min="1" max="1" width="21" customWidth="1"/>
    <col min="2" max="2" width="25" customWidth="1"/>
    <col min="3" max="3" width="17" customWidth="1"/>
    <col min="4" max="4" width="61" customWidth="1"/>
    <col min="5" max="5" width="10" customWidth="1"/>
    <col min="6" max="6" width="9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2" t="s">
        <v>6</v>
      </c>
      <c r="B2" s="3" t="s">
        <v>7</v>
      </c>
      <c r="C2" s="3" t="s">
        <v>8</v>
      </c>
      <c r="D2" s="2" t="s">
        <v>9</v>
      </c>
      <c r="E2" s="3"/>
      <c r="F2" s="2"/>
    </row>
    <row r="3" spans="1:6" ht="15" customHeight="1" x14ac:dyDescent="0.25">
      <c r="A3" s="4" t="s">
        <v>10</v>
      </c>
      <c r="B3" s="5" t="s">
        <v>11</v>
      </c>
      <c r="C3" s="5" t="s">
        <v>12</v>
      </c>
      <c r="D3" s="4" t="s">
        <v>13</v>
      </c>
      <c r="E3" s="5"/>
      <c r="F3" s="4"/>
    </row>
    <row r="4" spans="1:6" ht="15" customHeight="1" x14ac:dyDescent="0.25">
      <c r="A4" s="2" t="s">
        <v>14</v>
      </c>
      <c r="B4" s="3" t="s">
        <v>15</v>
      </c>
      <c r="C4" s="3" t="s">
        <v>16</v>
      </c>
      <c r="D4" s="2" t="s">
        <v>17</v>
      </c>
      <c r="E4" s="3"/>
      <c r="F4" s="2"/>
    </row>
    <row r="5" spans="1:6" ht="15" customHeight="1" x14ac:dyDescent="0.25">
      <c r="A5" s="4" t="s">
        <v>18</v>
      </c>
      <c r="B5" s="5" t="s">
        <v>19</v>
      </c>
      <c r="C5" s="5" t="s">
        <v>20</v>
      </c>
      <c r="D5" s="4" t="s">
        <v>21</v>
      </c>
      <c r="E5" s="5"/>
      <c r="F5" s="4"/>
    </row>
    <row r="6" spans="1:6" ht="15" customHeight="1" x14ac:dyDescent="0.25">
      <c r="A6" s="2" t="s">
        <v>22</v>
      </c>
      <c r="B6" s="3" t="s">
        <v>23</v>
      </c>
      <c r="C6" s="3" t="s">
        <v>24</v>
      </c>
      <c r="D6" s="2" t="s">
        <v>25</v>
      </c>
      <c r="E6" s="3"/>
      <c r="F6" s="2"/>
    </row>
    <row r="7" spans="1:6" ht="15" customHeight="1" x14ac:dyDescent="0.25">
      <c r="A7" s="4" t="s">
        <v>26</v>
      </c>
      <c r="B7" s="5" t="s">
        <v>27</v>
      </c>
      <c r="C7" s="5" t="s">
        <v>28</v>
      </c>
      <c r="D7" s="4" t="s">
        <v>29</v>
      </c>
      <c r="E7" s="5"/>
      <c r="F7" s="4"/>
    </row>
    <row r="8" spans="1:6" ht="15" customHeight="1" x14ac:dyDescent="0.25">
      <c r="A8" s="2" t="s">
        <v>30</v>
      </c>
      <c r="B8" s="3" t="s">
        <v>31</v>
      </c>
      <c r="C8" s="3" t="s">
        <v>32</v>
      </c>
      <c r="D8" s="2" t="s">
        <v>33</v>
      </c>
      <c r="E8" s="3"/>
      <c r="F8" s="2"/>
    </row>
    <row r="9" spans="1:6" ht="15" customHeight="1" x14ac:dyDescent="0.25">
      <c r="A9" s="4" t="s">
        <v>34</v>
      </c>
      <c r="B9" s="5" t="s">
        <v>35</v>
      </c>
      <c r="C9" s="5" t="s">
        <v>36</v>
      </c>
      <c r="D9" s="4" t="s">
        <v>37</v>
      </c>
      <c r="E9" s="5"/>
      <c r="F9" s="4"/>
    </row>
    <row r="10" spans="1:6" ht="15" customHeight="1" x14ac:dyDescent="0.25">
      <c r="A10" s="2" t="s">
        <v>38</v>
      </c>
      <c r="B10" s="3" t="s">
        <v>39</v>
      </c>
      <c r="C10" s="3" t="s">
        <v>40</v>
      </c>
      <c r="D10" s="2" t="s">
        <v>41</v>
      </c>
      <c r="E10" s="3"/>
      <c r="F10" s="2"/>
    </row>
    <row r="11" spans="1:6" ht="15" customHeight="1" x14ac:dyDescent="0.25">
      <c r="A11" s="4" t="s">
        <v>42</v>
      </c>
      <c r="B11" s="5" t="s">
        <v>43</v>
      </c>
      <c r="C11" s="5" t="s">
        <v>44</v>
      </c>
      <c r="D11" s="4" t="s">
        <v>45</v>
      </c>
      <c r="E11" s="5"/>
      <c r="F11" s="4"/>
    </row>
    <row r="12" spans="1:6" ht="15" customHeight="1" x14ac:dyDescent="0.25">
      <c r="A12" s="2" t="s">
        <v>46</v>
      </c>
      <c r="B12" s="3" t="s">
        <v>47</v>
      </c>
      <c r="C12" s="3" t="s">
        <v>48</v>
      </c>
      <c r="D12" s="2" t="s">
        <v>49</v>
      </c>
      <c r="E12" s="3"/>
      <c r="F12" s="2"/>
    </row>
    <row r="13" spans="1:6" ht="15" customHeight="1" x14ac:dyDescent="0.25">
      <c r="A13" s="4" t="s">
        <v>50</v>
      </c>
      <c r="B13" s="5" t="s">
        <v>51</v>
      </c>
      <c r="C13" s="5" t="s">
        <v>52</v>
      </c>
      <c r="D13" s="4" t="s">
        <v>53</v>
      </c>
      <c r="E13" s="5"/>
      <c r="F13" s="4"/>
    </row>
    <row r="14" spans="1:6" ht="15" customHeight="1" x14ac:dyDescent="0.25">
      <c r="A14" s="2" t="s">
        <v>54</v>
      </c>
      <c r="B14" s="3" t="s">
        <v>55</v>
      </c>
      <c r="C14" s="3" t="s">
        <v>56</v>
      </c>
      <c r="D14" s="2" t="s">
        <v>57</v>
      </c>
      <c r="E14" s="3"/>
      <c r="F14" s="2"/>
    </row>
    <row r="15" spans="1:6" ht="15" customHeight="1" x14ac:dyDescent="0.25">
      <c r="A15" s="4" t="s">
        <v>58</v>
      </c>
      <c r="B15" s="5" t="s">
        <v>59</v>
      </c>
      <c r="C15" s="5" t="s">
        <v>60</v>
      </c>
      <c r="D15" s="4" t="s">
        <v>61</v>
      </c>
      <c r="E15" s="5"/>
      <c r="F15" s="4"/>
    </row>
    <row r="16" spans="1:6" ht="15" customHeight="1" x14ac:dyDescent="0.25">
      <c r="A16" s="2" t="s">
        <v>62</v>
      </c>
      <c r="B16" s="3" t="s">
        <v>63</v>
      </c>
      <c r="C16" s="3" t="s">
        <v>64</v>
      </c>
      <c r="D16" s="2" t="s">
        <v>65</v>
      </c>
      <c r="E16" s="3"/>
      <c r="F16" s="2"/>
    </row>
    <row r="17" spans="1:6" ht="15" customHeight="1" x14ac:dyDescent="0.25">
      <c r="A17" s="4" t="s">
        <v>66</v>
      </c>
      <c r="B17" s="5" t="s">
        <v>67</v>
      </c>
      <c r="C17" s="5" t="s">
        <v>68</v>
      </c>
      <c r="D17" s="4" t="s">
        <v>69</v>
      </c>
      <c r="E17" s="5"/>
      <c r="F17" s="4"/>
    </row>
    <row r="18" spans="1:6" ht="15" customHeight="1" x14ac:dyDescent="0.25">
      <c r="A18" s="2" t="s">
        <v>70</v>
      </c>
      <c r="B18" s="3" t="s">
        <v>71</v>
      </c>
      <c r="C18" s="3" t="s">
        <v>72</v>
      </c>
      <c r="D18" s="2" t="s">
        <v>73</v>
      </c>
      <c r="E18" s="3"/>
      <c r="F18" s="2"/>
    </row>
    <row r="19" spans="1:6" ht="15" customHeight="1" x14ac:dyDescent="0.25">
      <c r="A19" s="4" t="s">
        <v>74</v>
      </c>
      <c r="B19" s="5" t="s">
        <v>75</v>
      </c>
      <c r="C19" s="5" t="s">
        <v>76</v>
      </c>
      <c r="D19" s="4" t="s">
        <v>77</v>
      </c>
      <c r="E19" s="5"/>
      <c r="F19" s="4"/>
    </row>
    <row r="20" spans="1:6" ht="15" customHeight="1" x14ac:dyDescent="0.25">
      <c r="A20" s="2" t="s">
        <v>78</v>
      </c>
      <c r="B20" s="3" t="s">
        <v>79</v>
      </c>
      <c r="C20" s="3" t="s">
        <v>80</v>
      </c>
      <c r="D20" s="2" t="s">
        <v>81</v>
      </c>
      <c r="E20" s="3"/>
      <c r="F20" s="2"/>
    </row>
    <row r="21" spans="1:6" ht="15" customHeight="1" x14ac:dyDescent="0.25">
      <c r="A21" s="4" t="s">
        <v>82</v>
      </c>
      <c r="B21" s="5" t="s">
        <v>83</v>
      </c>
      <c r="C21" s="5" t="s">
        <v>84</v>
      </c>
      <c r="D21" s="4" t="s">
        <v>85</v>
      </c>
      <c r="E21" s="5"/>
      <c r="F21" s="4"/>
    </row>
    <row r="22" spans="1:6" ht="15" customHeight="1" x14ac:dyDescent="0.25">
      <c r="A22" s="2" t="s">
        <v>86</v>
      </c>
      <c r="B22" s="3" t="s">
        <v>87</v>
      </c>
      <c r="C22" s="3" t="s">
        <v>88</v>
      </c>
      <c r="D22" s="2" t="s">
        <v>89</v>
      </c>
      <c r="E22" s="3"/>
      <c r="F22" s="2"/>
    </row>
    <row r="23" spans="1:6" ht="15" customHeight="1" x14ac:dyDescent="0.25">
      <c r="A23" s="4" t="s">
        <v>90</v>
      </c>
      <c r="B23" s="5" t="s">
        <v>250</v>
      </c>
      <c r="C23" s="5" t="s">
        <v>91</v>
      </c>
      <c r="D23" s="4" t="s">
        <v>92</v>
      </c>
      <c r="E23" s="5"/>
      <c r="F23" s="4"/>
    </row>
    <row r="24" spans="1:6" ht="15" customHeight="1" x14ac:dyDescent="0.25">
      <c r="A24" s="2" t="s">
        <v>93</v>
      </c>
      <c r="B24" s="3" t="s">
        <v>94</v>
      </c>
      <c r="C24" s="3" t="s">
        <v>95</v>
      </c>
      <c r="D24" s="2" t="s">
        <v>96</v>
      </c>
      <c r="E24" s="3"/>
      <c r="F24" s="2"/>
    </row>
    <row r="25" spans="1:6" ht="15" customHeight="1" x14ac:dyDescent="0.25">
      <c r="A25" s="4" t="s">
        <v>97</v>
      </c>
      <c r="B25" s="5" t="s">
        <v>98</v>
      </c>
      <c r="C25" s="5" t="s">
        <v>99</v>
      </c>
      <c r="D25" s="4" t="s">
        <v>100</v>
      </c>
      <c r="E25" s="5"/>
      <c r="F25" s="4"/>
    </row>
    <row r="26" spans="1:6" ht="15" customHeight="1" x14ac:dyDescent="0.25">
      <c r="A26" s="2" t="s">
        <v>101</v>
      </c>
      <c r="B26" s="3" t="s">
        <v>102</v>
      </c>
      <c r="C26" s="3" t="s">
        <v>103</v>
      </c>
      <c r="D26" s="2" t="s">
        <v>104</v>
      </c>
      <c r="E26" s="3"/>
      <c r="F26" s="2"/>
    </row>
    <row r="27" spans="1:6" ht="15" customHeight="1" x14ac:dyDescent="0.25">
      <c r="A27" s="4" t="s">
        <v>105</v>
      </c>
      <c r="B27" s="5" t="s">
        <v>106</v>
      </c>
      <c r="C27" s="5" t="s">
        <v>107</v>
      </c>
      <c r="D27" s="4" t="s">
        <v>108</v>
      </c>
      <c r="E27" s="5"/>
      <c r="F27" s="4"/>
    </row>
    <row r="28" spans="1:6" ht="15" customHeight="1" x14ac:dyDescent="0.25">
      <c r="A28" s="2" t="s">
        <v>109</v>
      </c>
      <c r="B28" s="3" t="s">
        <v>110</v>
      </c>
      <c r="C28" s="3" t="s">
        <v>111</v>
      </c>
      <c r="D28" s="2" t="s">
        <v>112</v>
      </c>
      <c r="E28" s="3"/>
      <c r="F28" s="2"/>
    </row>
    <row r="29" spans="1:6" ht="15" customHeight="1" x14ac:dyDescent="0.25">
      <c r="A29" s="4" t="s">
        <v>113</v>
      </c>
      <c r="B29" s="5" t="s">
        <v>114</v>
      </c>
      <c r="C29" s="5" t="s">
        <v>115</v>
      </c>
      <c r="D29" s="4" t="s">
        <v>116</v>
      </c>
      <c r="E29" s="5"/>
      <c r="F29" s="4"/>
    </row>
    <row r="30" spans="1:6" ht="15" customHeight="1" x14ac:dyDescent="0.25">
      <c r="A30" s="2" t="s">
        <v>117</v>
      </c>
      <c r="B30" s="3" t="s">
        <v>118</v>
      </c>
      <c r="C30" s="3" t="s">
        <v>119</v>
      </c>
      <c r="D30" s="2" t="s">
        <v>120</v>
      </c>
      <c r="E30" s="3"/>
      <c r="F30" s="2"/>
    </row>
    <row r="31" spans="1:6" ht="15" customHeight="1" x14ac:dyDescent="0.25">
      <c r="A31" s="4" t="s">
        <v>121</v>
      </c>
      <c r="B31" s="5" t="s">
        <v>122</v>
      </c>
      <c r="C31" s="5" t="s">
        <v>123</v>
      </c>
      <c r="D31" s="4" t="s">
        <v>124</v>
      </c>
      <c r="E31" s="5"/>
      <c r="F31" s="4"/>
    </row>
    <row r="32" spans="1:6" ht="15" customHeight="1" x14ac:dyDescent="0.25">
      <c r="A32" s="2" t="s">
        <v>125</v>
      </c>
      <c r="B32" s="3" t="s">
        <v>126</v>
      </c>
      <c r="C32" s="3" t="s">
        <v>127</v>
      </c>
      <c r="D32" s="2" t="s">
        <v>128</v>
      </c>
      <c r="E32" s="3"/>
      <c r="F32" s="2"/>
    </row>
    <row r="33" spans="1:6" ht="15" customHeight="1" x14ac:dyDescent="0.25">
      <c r="A33" s="4" t="s">
        <v>129</v>
      </c>
      <c r="B33" s="5" t="s">
        <v>130</v>
      </c>
      <c r="C33" s="5" t="s">
        <v>131</v>
      </c>
      <c r="D33" s="4" t="s">
        <v>132</v>
      </c>
      <c r="E33" s="5"/>
      <c r="F33" s="4"/>
    </row>
    <row r="34" spans="1:6" ht="15" customHeight="1" x14ac:dyDescent="0.25">
      <c r="A34" s="2" t="s">
        <v>133</v>
      </c>
      <c r="B34" s="3" t="s">
        <v>134</v>
      </c>
      <c r="C34" s="3" t="s">
        <v>135</v>
      </c>
      <c r="D34" s="2" t="s">
        <v>136</v>
      </c>
      <c r="E34" s="3"/>
      <c r="F34" s="2"/>
    </row>
    <row r="35" spans="1:6" ht="15" customHeight="1" x14ac:dyDescent="0.25">
      <c r="A35" s="4" t="s">
        <v>137</v>
      </c>
      <c r="B35" s="5" t="s">
        <v>138</v>
      </c>
      <c r="C35" s="5" t="s">
        <v>139</v>
      </c>
      <c r="D35" s="4" t="e">
        <f ca="1">上行接触器 OR 下行接触器(由 FB12 写入)</f>
        <v>#NAME?</v>
      </c>
      <c r="E35" s="5"/>
      <c r="F35" s="4"/>
    </row>
    <row r="36" spans="1:6" ht="15" customHeight="1" x14ac:dyDescent="0.25">
      <c r="A36" s="2" t="s">
        <v>140</v>
      </c>
      <c r="B36" s="3" t="s">
        <v>141</v>
      </c>
      <c r="C36" s="3" t="s">
        <v>142</v>
      </c>
      <c r="D36" s="2" t="e">
        <f ca="1">上平层信号 AND 下平层信号(由 FB12 写入)</f>
        <v>#NAME?</v>
      </c>
      <c r="E36" s="3"/>
      <c r="F36" s="2"/>
    </row>
    <row r="37" spans="1:6" ht="15" customHeight="1" x14ac:dyDescent="0.25">
      <c r="A37" s="4" t="s">
        <v>143</v>
      </c>
      <c r="B37" s="5" t="s">
        <v>144</v>
      </c>
      <c r="C37" s="5" t="s">
        <v>145</v>
      </c>
      <c r="D37" s="4" t="e">
        <f ca="1">轿厢门锁 AND 全部楼层门锁(由 FC_门锁检查 写入)</f>
        <v>#NAME?</v>
      </c>
      <c r="E37" s="5"/>
      <c r="F37" s="4"/>
    </row>
    <row r="38" spans="1:6" ht="15" customHeight="1" x14ac:dyDescent="0.25">
      <c r="A38" s="2" t="s">
        <v>146</v>
      </c>
      <c r="B38" s="3" t="s">
        <v>147</v>
      </c>
      <c r="C38" s="3" t="s">
        <v>148</v>
      </c>
      <c r="D38" s="2" t="e">
        <f ca="1">本层有需求需要停靠(由 FB10 写入)</f>
        <v>#NAME?</v>
      </c>
      <c r="E38" s="3"/>
      <c r="F38" s="2"/>
    </row>
    <row r="39" spans="1:6" ht="15" customHeight="1" x14ac:dyDescent="0.25">
      <c r="A39" s="4" t="s">
        <v>149</v>
      </c>
      <c r="B39" s="5" t="s">
        <v>150</v>
      </c>
      <c r="C39" s="5" t="s">
        <v>151</v>
      </c>
      <c r="D39" s="4" t="s">
        <v>152</v>
      </c>
      <c r="E39" s="5"/>
      <c r="F39" s="4"/>
    </row>
    <row r="40" spans="1:6" ht="15" customHeight="1" x14ac:dyDescent="0.25">
      <c r="A40" s="2" t="s">
        <v>153</v>
      </c>
      <c r="B40" s="3" t="s">
        <v>154</v>
      </c>
      <c r="C40" s="3" t="s">
        <v>155</v>
      </c>
      <c r="D40" s="2" t="s">
        <v>156</v>
      </c>
      <c r="E40" s="3"/>
      <c r="F40" s="2"/>
    </row>
    <row r="41" spans="1:6" ht="15" customHeight="1" x14ac:dyDescent="0.25">
      <c r="A41" s="4" t="s">
        <v>157</v>
      </c>
      <c r="B41" s="5" t="s">
        <v>158</v>
      </c>
      <c r="C41" s="5" t="s">
        <v>159</v>
      </c>
      <c r="D41" s="4" t="s">
        <v>160</v>
      </c>
      <c r="E41" s="5"/>
      <c r="F41" s="4"/>
    </row>
    <row r="42" spans="1:6" ht="15" customHeight="1" x14ac:dyDescent="0.25">
      <c r="A42" s="2" t="s">
        <v>161</v>
      </c>
      <c r="B42" s="3" t="s">
        <v>162</v>
      </c>
      <c r="C42" s="3" t="s">
        <v>163</v>
      </c>
      <c r="D42" s="2" t="s">
        <v>164</v>
      </c>
      <c r="E42" s="3"/>
      <c r="F42" s="2"/>
    </row>
    <row r="43" spans="1:6" ht="15" customHeight="1" x14ac:dyDescent="0.25">
      <c r="A43" s="4" t="s">
        <v>165</v>
      </c>
      <c r="B43" s="5" t="s">
        <v>166</v>
      </c>
      <c r="C43" s="5" t="s">
        <v>167</v>
      </c>
      <c r="D43" s="4" t="s">
        <v>168</v>
      </c>
      <c r="E43" s="5"/>
      <c r="F43" s="4"/>
    </row>
    <row r="44" spans="1:6" ht="15" customHeight="1" x14ac:dyDescent="0.25">
      <c r="A44" s="2" t="s">
        <v>169</v>
      </c>
      <c r="B44" s="3" t="s">
        <v>170</v>
      </c>
      <c r="C44" s="3" t="s">
        <v>171</v>
      </c>
      <c r="D44" s="2" t="s">
        <v>172</v>
      </c>
      <c r="E44" s="3"/>
      <c r="F44" s="2"/>
    </row>
    <row r="45" spans="1:6" ht="15" customHeight="1" x14ac:dyDescent="0.25">
      <c r="A45" s="4" t="s">
        <v>173</v>
      </c>
      <c r="B45" s="5" t="s">
        <v>174</v>
      </c>
      <c r="C45" s="5" t="s">
        <v>175</v>
      </c>
      <c r="D45" s="4" t="s">
        <v>176</v>
      </c>
      <c r="E45" s="5"/>
      <c r="F45" s="4"/>
    </row>
    <row r="46" spans="1:6" ht="15" customHeight="1" x14ac:dyDescent="0.25">
      <c r="A46" s="2" t="s">
        <v>177</v>
      </c>
      <c r="B46" s="3" t="s">
        <v>178</v>
      </c>
      <c r="C46" s="3" t="s">
        <v>179</v>
      </c>
      <c r="D46" s="2" t="s">
        <v>180</v>
      </c>
      <c r="E46" s="3"/>
      <c r="F46" s="2"/>
    </row>
    <row r="47" spans="1:6" ht="15" customHeight="1" x14ac:dyDescent="0.25">
      <c r="A47" s="4" t="s">
        <v>181</v>
      </c>
      <c r="B47" s="5" t="s">
        <v>250</v>
      </c>
      <c r="C47" s="5" t="s">
        <v>182</v>
      </c>
      <c r="D47" s="6" t="s">
        <v>247</v>
      </c>
      <c r="E47" s="5"/>
      <c r="F47" s="4"/>
    </row>
    <row r="48" spans="1:6" ht="15" customHeight="1" x14ac:dyDescent="0.25">
      <c r="A48" s="2" t="s">
        <v>183</v>
      </c>
      <c r="B48" s="3" t="s">
        <v>250</v>
      </c>
      <c r="C48" s="3" t="s">
        <v>184</v>
      </c>
      <c r="D48" s="7" t="s">
        <v>248</v>
      </c>
      <c r="E48" s="3"/>
      <c r="F48" s="2"/>
    </row>
    <row r="49" spans="1:6" ht="15" customHeight="1" x14ac:dyDescent="0.25">
      <c r="A49" s="4" t="s">
        <v>185</v>
      </c>
      <c r="B49" s="5" t="s">
        <v>250</v>
      </c>
      <c r="C49" s="5" t="s">
        <v>186</v>
      </c>
      <c r="D49" s="6" t="s">
        <v>249</v>
      </c>
      <c r="E49" s="5"/>
      <c r="F49" s="4"/>
    </row>
    <row r="50" spans="1:6" ht="15" customHeight="1" x14ac:dyDescent="0.25">
      <c r="A50" s="2" t="s">
        <v>187</v>
      </c>
      <c r="B50" s="3" t="s">
        <v>250</v>
      </c>
      <c r="C50" s="3" t="s">
        <v>188</v>
      </c>
      <c r="D50" s="2" t="s">
        <v>189</v>
      </c>
      <c r="E50" s="3"/>
      <c r="F50" s="2"/>
    </row>
    <row r="51" spans="1:6" ht="15" customHeight="1" x14ac:dyDescent="0.25">
      <c r="A51" s="4" t="s">
        <v>190</v>
      </c>
      <c r="B51" s="5" t="s">
        <v>250</v>
      </c>
      <c r="C51" s="5" t="s">
        <v>191</v>
      </c>
      <c r="D51" s="4" t="s">
        <v>192</v>
      </c>
      <c r="E51" s="5"/>
      <c r="F51" s="4"/>
    </row>
    <row r="52" spans="1:6" ht="15" customHeight="1" x14ac:dyDescent="0.25">
      <c r="A52" s="2" t="s">
        <v>193</v>
      </c>
      <c r="B52" s="3" t="s">
        <v>250</v>
      </c>
      <c r="C52" s="3" t="s">
        <v>194</v>
      </c>
      <c r="D52" s="2" t="s">
        <v>195</v>
      </c>
      <c r="E52" s="3"/>
      <c r="F52" s="2"/>
    </row>
    <row r="53" spans="1:6" ht="15" customHeight="1" x14ac:dyDescent="0.25">
      <c r="A53" s="4" t="s">
        <v>196</v>
      </c>
      <c r="B53" s="5" t="s">
        <v>197</v>
      </c>
      <c r="C53" s="5" t="s">
        <v>198</v>
      </c>
      <c r="D53" s="4" t="s">
        <v>199</v>
      </c>
      <c r="E53" s="5"/>
      <c r="F53" s="4"/>
    </row>
    <row r="54" spans="1:6" ht="15" customHeight="1" x14ac:dyDescent="0.25">
      <c r="A54" s="2" t="s">
        <v>200</v>
      </c>
      <c r="B54" s="3" t="s">
        <v>201</v>
      </c>
      <c r="C54" s="3" t="s">
        <v>202</v>
      </c>
      <c r="D54" s="2" t="s">
        <v>203</v>
      </c>
      <c r="E54" s="3"/>
      <c r="F54" s="2"/>
    </row>
    <row r="55" spans="1:6" ht="15" customHeight="1" x14ac:dyDescent="0.25">
      <c r="A55" s="4" t="s">
        <v>204</v>
      </c>
      <c r="B55" s="5" t="s">
        <v>205</v>
      </c>
      <c r="C55" s="5" t="s">
        <v>206</v>
      </c>
      <c r="D55" s="4" t="s">
        <v>207</v>
      </c>
      <c r="E55" s="5"/>
      <c r="F55" s="4"/>
    </row>
    <row r="56" spans="1:6" ht="15" customHeight="1" x14ac:dyDescent="0.25">
      <c r="A56" s="2" t="s">
        <v>208</v>
      </c>
      <c r="B56" s="3" t="s">
        <v>209</v>
      </c>
      <c r="C56" s="3" t="s">
        <v>210</v>
      </c>
      <c r="D56" s="2" t="s">
        <v>211</v>
      </c>
      <c r="E56" s="3"/>
      <c r="F56" s="2"/>
    </row>
    <row r="57" spans="1:6" ht="15" customHeight="1" x14ac:dyDescent="0.25">
      <c r="A57" s="4" t="s">
        <v>212</v>
      </c>
      <c r="B57" s="5" t="s">
        <v>213</v>
      </c>
      <c r="C57" s="5" t="s">
        <v>214</v>
      </c>
      <c r="D57" s="4" t="s">
        <v>215</v>
      </c>
      <c r="E57" s="5"/>
      <c r="F57" s="4"/>
    </row>
    <row r="58" spans="1:6" ht="15" customHeight="1" x14ac:dyDescent="0.25">
      <c r="A58" s="2" t="s">
        <v>216</v>
      </c>
      <c r="B58" s="3" t="s">
        <v>217</v>
      </c>
      <c r="C58" s="3" t="s">
        <v>218</v>
      </c>
      <c r="D58" s="2" t="s">
        <v>219</v>
      </c>
      <c r="E58" s="3"/>
      <c r="F58" s="2"/>
    </row>
    <row r="59" spans="1:6" ht="15" customHeight="1" x14ac:dyDescent="0.25">
      <c r="A59" s="4" t="s">
        <v>220</v>
      </c>
      <c r="B59" s="5" t="s">
        <v>221</v>
      </c>
      <c r="C59" s="5" t="s">
        <v>222</v>
      </c>
      <c r="D59" s="4" t="s">
        <v>223</v>
      </c>
      <c r="E59" s="5"/>
      <c r="F59" s="4"/>
    </row>
    <row r="60" spans="1:6" ht="15" customHeight="1" x14ac:dyDescent="0.25">
      <c r="A60" s="2" t="s">
        <v>224</v>
      </c>
      <c r="B60" s="3" t="s">
        <v>225</v>
      </c>
      <c r="C60" s="3" t="s">
        <v>226</v>
      </c>
      <c r="D60" s="2" t="s">
        <v>227</v>
      </c>
      <c r="E60" s="3"/>
      <c r="F60" s="2"/>
    </row>
    <row r="61" spans="1:6" ht="15" customHeight="1" x14ac:dyDescent="0.25">
      <c r="A61" s="4" t="s">
        <v>228</v>
      </c>
      <c r="B61" s="5" t="s">
        <v>229</v>
      </c>
      <c r="C61" s="5" t="s">
        <v>230</v>
      </c>
      <c r="D61" s="4" t="s">
        <v>231</v>
      </c>
      <c r="E61" s="5"/>
      <c r="F61" s="4"/>
    </row>
    <row r="62" spans="1:6" ht="15" customHeight="1" x14ac:dyDescent="0.25">
      <c r="A62" s="2" t="s">
        <v>232</v>
      </c>
      <c r="B62" s="3" t="s">
        <v>233</v>
      </c>
      <c r="C62" s="3" t="s">
        <v>234</v>
      </c>
      <c r="D62" s="2" t="e">
        <f ca="1">任一内呼指示灯亮(由 FB13 周期扫描写入)</f>
        <v>#NAME?</v>
      </c>
      <c r="E62" s="3"/>
      <c r="F62" s="2"/>
    </row>
    <row r="63" spans="1:6" ht="15" customHeight="1" x14ac:dyDescent="0.25">
      <c r="A63" s="4" t="s">
        <v>235</v>
      </c>
      <c r="B63" s="5" t="s">
        <v>236</v>
      </c>
      <c r="C63" s="5" t="s">
        <v>237</v>
      </c>
      <c r="D63" s="4" t="e">
        <f ca="1">任一外呼指示灯亮(由 FB13 周期扫描写入)</f>
        <v>#NAME?</v>
      </c>
      <c r="E63" s="5"/>
      <c r="F63" s="4"/>
    </row>
    <row r="64" spans="1:6" ht="15" customHeight="1" x14ac:dyDescent="0.25">
      <c r="A64" s="2" t="s">
        <v>238</v>
      </c>
      <c r="B64" s="3" t="s">
        <v>250</v>
      </c>
      <c r="C64" s="3" t="s">
        <v>239</v>
      </c>
      <c r="D64" s="2" t="e">
        <f ca="1">每层是否有任何需求(内呼 OR 外呼上 OR 外呼下),由 FC_需求汇总 写入</f>
        <v>#NAME?</v>
      </c>
      <c r="E64" s="3"/>
      <c r="F64" s="2"/>
    </row>
    <row r="65" spans="1:6" ht="15" customHeight="1" x14ac:dyDescent="0.25">
      <c r="A65" s="4" t="s">
        <v>240</v>
      </c>
      <c r="B65" s="5" t="s">
        <v>241</v>
      </c>
      <c r="C65" s="5" t="s">
        <v>242</v>
      </c>
      <c r="D65" s="4" t="s">
        <v>243</v>
      </c>
      <c r="E65" s="5" t="s">
        <v>244</v>
      </c>
      <c r="F65" s="4"/>
    </row>
    <row r="66" spans="1:6" ht="15" customHeight="1" x14ac:dyDescent="0.25">
      <c r="A66" s="2" t="s">
        <v>245</v>
      </c>
      <c r="B66" s="3" t="s">
        <v>258</v>
      </c>
      <c r="C66" s="3" t="s">
        <v>246</v>
      </c>
      <c r="D66" s="2"/>
      <c r="E66" s="3"/>
      <c r="F66" s="2"/>
    </row>
    <row r="67" spans="1:6" ht="15" x14ac:dyDescent="0.25">
      <c r="A67" s="6" t="s">
        <v>251</v>
      </c>
      <c r="B67" s="5" t="s">
        <v>15</v>
      </c>
      <c r="C67" s="5" t="s">
        <v>8</v>
      </c>
      <c r="D67" s="6" t="s">
        <v>251</v>
      </c>
    </row>
    <row r="68" spans="1:6" ht="15" x14ac:dyDescent="0.25">
      <c r="A68" s="7" t="s">
        <v>252</v>
      </c>
      <c r="B68" s="3" t="s">
        <v>15</v>
      </c>
      <c r="C68" s="3" t="s">
        <v>8</v>
      </c>
      <c r="D68" s="7" t="s">
        <v>252</v>
      </c>
    </row>
    <row r="69" spans="1:6" ht="15" x14ac:dyDescent="0.25">
      <c r="A69" s="6" t="s">
        <v>253</v>
      </c>
      <c r="B69" s="5" t="s">
        <v>15</v>
      </c>
      <c r="C69" s="5" t="s">
        <v>8</v>
      </c>
      <c r="D69" s="6" t="s">
        <v>253</v>
      </c>
    </row>
    <row r="70" spans="1:6" ht="15" x14ac:dyDescent="0.25">
      <c r="A70" s="7" t="s">
        <v>254</v>
      </c>
      <c r="B70" s="3" t="s">
        <v>15</v>
      </c>
      <c r="C70" s="3" t="s">
        <v>8</v>
      </c>
      <c r="D70" s="7" t="s">
        <v>254</v>
      </c>
    </row>
    <row r="71" spans="1:6" ht="15" x14ac:dyDescent="0.25">
      <c r="A71" s="6" t="s">
        <v>255</v>
      </c>
      <c r="B71" s="5" t="s">
        <v>15</v>
      </c>
      <c r="C71" s="5" t="s">
        <v>8</v>
      </c>
      <c r="D71" s="6" t="s">
        <v>255</v>
      </c>
    </row>
    <row r="72" spans="1:6" ht="15" x14ac:dyDescent="0.25">
      <c r="A72" s="7" t="s">
        <v>256</v>
      </c>
      <c r="B72" s="3" t="s">
        <v>15</v>
      </c>
      <c r="C72" s="3" t="s">
        <v>8</v>
      </c>
      <c r="D72" s="7" t="s">
        <v>256</v>
      </c>
    </row>
    <row r="73" spans="1:6" ht="15" x14ac:dyDescent="0.25">
      <c r="A73" s="6" t="s">
        <v>257</v>
      </c>
      <c r="B73" s="5" t="s">
        <v>15</v>
      </c>
      <c r="C73" s="5" t="s">
        <v>8</v>
      </c>
      <c r="D73" s="6" t="s">
        <v>257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UDT_单梯状态_博途变量表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李航逸</dc:creator>
  <cp:lastModifiedBy>航逸 李</cp:lastModifiedBy>
  <dcterms:created xsi:type="dcterms:W3CDTF">2026-05-27T11:39:40Z</dcterms:created>
  <dcterms:modified xsi:type="dcterms:W3CDTF">2026-06-01T12:30:13Z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{"Label":"1","ContentProducer":"001191110102MACQD9K64010000","ProduceID":"7644534615018326990","ReservedCode1":"","ContentPropagator":"","PropagateID":"","ReservedCode2":""}</vt:lpwstr>
  </property>
</Properties>
</file>